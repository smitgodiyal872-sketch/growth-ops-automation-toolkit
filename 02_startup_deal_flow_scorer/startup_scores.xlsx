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029CC7-24EB-4CC2-A905-A78628B47BA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artup 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6" i="1"/>
  <c r="F5" i="1"/>
  <c r="F4" i="1"/>
  <c r="F3" i="1"/>
</calcChain>
</file>

<file path=xl/sharedStrings.xml><?xml version="1.0" encoding="utf-8"?>
<sst xmlns="http://schemas.openxmlformats.org/spreadsheetml/2006/main" count="16" uniqueCount="15">
  <si>
    <t>Startup Name</t>
  </si>
  <si>
    <t>Sector</t>
  </si>
  <si>
    <t>TVL ($)</t>
  </si>
  <si>
    <t>MoM Growth</t>
  </si>
  <si>
    <t>Team Size</t>
  </si>
  <si>
    <t>Score</t>
  </si>
  <si>
    <t>DefiLend</t>
  </si>
  <si>
    <t>DeFi</t>
  </si>
  <si>
    <t>ChainAI</t>
  </si>
  <si>
    <t>AI Infra</t>
  </si>
  <si>
    <t>BlockSocial</t>
  </si>
  <si>
    <t>Social</t>
  </si>
  <si>
    <t>YieldMax</t>
  </si>
  <si>
    <t>Orbit Protocol</t>
  </si>
  <si>
    <t>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</si>
</sst>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6" sqref="J6"/>
    </sheetView>
  </sheetViews>
  <sheetFormatPr defaultRowHeight="14.5" x14ac:dyDescent="0.35"/>
  <cols>
    <col min="1" max="1" width="12.81640625" style="1" customWidth="1"/>
    <col min="2" max="3" width="8.7265625" style="1"/>
    <col min="4" max="4" width="12.08984375" style="1" customWidth="1"/>
    <col min="5" max="5" width="9.81640625" style="1" customWidth="1"/>
    <col min="6" max="6" width="8.7265625" style="1"/>
  </cols>
  <sheetData>
    <row r="1" spans="1:6" s="3" customFormat="1" ht="2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>
        <v>4200000</v>
      </c>
      <c r="D2" s="1">
        <v>0.15</v>
      </c>
      <c r="E2" s="1">
        <v>8</v>
      </c>
      <c r="F2" s="1">
        <f>MIN(10, ROUND((D2*20) + (C2/2000000), 1))</f>
        <v>5.0999999999999996</v>
      </c>
    </row>
    <row r="3" spans="1:6" x14ac:dyDescent="0.35">
      <c r="A3" s="1" t="s">
        <v>8</v>
      </c>
      <c r="B3" s="1" t="s">
        <v>9</v>
      </c>
      <c r="C3" s="1">
        <v>150000</v>
      </c>
      <c r="D3" s="1">
        <v>0.45</v>
      </c>
      <c r="E3" s="1">
        <v>3</v>
      </c>
      <c r="F3" s="1">
        <f>MIN(10, ROUND((D3*20) + (C3/2000000), 1))</f>
        <v>9.1</v>
      </c>
    </row>
    <row r="4" spans="1:6" x14ac:dyDescent="0.35">
      <c r="A4" s="1" t="s">
        <v>10</v>
      </c>
      <c r="B4" s="1" t="s">
        <v>11</v>
      </c>
      <c r="C4" s="1">
        <v>12000000</v>
      </c>
      <c r="D4" s="1">
        <v>0.02</v>
      </c>
      <c r="E4" s="1">
        <v>25</v>
      </c>
      <c r="F4" s="1">
        <f>MIN(10, ROUND((D4*20) + (C4/2000000), 1))</f>
        <v>6.4</v>
      </c>
    </row>
    <row r="5" spans="1:6" x14ac:dyDescent="0.35">
      <c r="A5" s="1" t="s">
        <v>12</v>
      </c>
      <c r="B5" s="1" t="s">
        <v>7</v>
      </c>
      <c r="C5" s="1">
        <v>800000</v>
      </c>
      <c r="D5" s="1">
        <v>0.08</v>
      </c>
      <c r="E5" s="1">
        <v>5</v>
      </c>
      <c r="F5" s="1">
        <f>MIN(10, ROUND((D5*20) + (C5/2000000), 1))</f>
        <v>2</v>
      </c>
    </row>
    <row r="6" spans="1:6" x14ac:dyDescent="0.35">
      <c r="A6" s="1" t="s">
        <v>13</v>
      </c>
      <c r="B6" s="1" t="s">
        <v>14</v>
      </c>
      <c r="C6" s="1">
        <v>2500000</v>
      </c>
      <c r="D6" s="1">
        <v>0.22</v>
      </c>
      <c r="E6" s="1">
        <v>12</v>
      </c>
      <c r="F6" s="1">
        <f>MIN(10, ROUND((D6*20) + (C6/2000000), 1))</f>
        <v>5.7</v>
      </c>
    </row>
  </sheetData>
  <conditionalFormatting sqref="F1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ellIs" dxfId="0" priority="1" operator="greaterThan">
      <formula>0.2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 Godiyal</cp:lastModifiedBy>
  <dcterms:created xsi:type="dcterms:W3CDTF">2025-12-15T07:23:25Z</dcterms:created>
  <dcterms:modified xsi:type="dcterms:W3CDTF">2025-12-15T07:40:50Z</dcterms:modified>
</cp:coreProperties>
</file>